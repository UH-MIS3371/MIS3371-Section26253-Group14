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Ratings" sheetId="1" r:id="rId5"/>
    <sheet state="visible" name="Summary" sheetId="2" r:id="rId6"/>
    <sheet state="visible" name="Rating Log" sheetId="3" r:id="rId7"/>
  </sheets>
  <definedNames/>
  <calcPr/>
</workbook>
</file>

<file path=xl/sharedStrings.xml><?xml version="1.0" encoding="utf-8"?>
<sst xmlns="http://schemas.openxmlformats.org/spreadsheetml/2006/main" count="35" uniqueCount="32">
  <si>
    <t>Team Weekly Performance Ratings</t>
  </si>
  <si>
    <t>Rate each teammate 1-100 for each week. Yellow cells are for your input.</t>
  </si>
  <si>
    <t>Team Member</t>
  </si>
  <si>
    <t>Average</t>
  </si>
  <si>
    <t>Trend</t>
  </si>
  <si>
    <t>Joshua Ta</t>
  </si>
  <si>
    <t>Martin Huerta</t>
  </si>
  <si>
    <t>Jerryn Jose</t>
  </si>
  <si>
    <t>Ethan Tran</t>
  </si>
  <si>
    <t>Team Performance Summary</t>
  </si>
  <si>
    <t>Pulls automatically from the Weekly Ratings tab.</t>
  </si>
  <si>
    <t>Austin Tran</t>
  </si>
  <si>
    <t>Average Rating</t>
  </si>
  <si>
    <t>Latest Week Rating</t>
  </si>
  <si>
    <t>Weekly Rating Log</t>
  </si>
  <si>
    <t>One row per teammate per week — use this if you want notes behind each score.</t>
  </si>
  <si>
    <t>Week Of</t>
  </si>
  <si>
    <t>Rating (1-100)</t>
  </si>
  <si>
    <t>How to use this sheet:</t>
  </si>
  <si>
    <t>Category</t>
  </si>
  <si>
    <t>Notes / Justification</t>
  </si>
  <si>
    <t>• Yellow cells = enter a rating 1-100 for that teammate for that week.</t>
  </si>
  <si>
    <t>• Leave a week blank if not yet rated — Average/Trend ignore blanks.</t>
  </si>
  <si>
    <t>Alex Rivera (example)</t>
  </si>
  <si>
    <t>• Row 1 (Alex Rivera) is a filled-in example — replace with real names.</t>
  </si>
  <si>
    <t>• Add more rows by copying the formatting/formulas down.</t>
  </si>
  <si>
    <t>• See the Summary tab for team-wide views, and Rating Log for notes per rating.</t>
  </si>
  <si>
    <t>Delivery</t>
  </si>
  <si>
    <t>Shipped the API refactor a day early, helped onboard new hire.</t>
  </si>
  <si>
    <t>Team Average:</t>
  </si>
  <si>
    <t>Top Performer (avg):</t>
  </si>
  <si>
    <t>Needs Attention (avg):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</si>
</sst>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Wk &quot;mmm\ d"/>
    <numFmt numFmtId="165" formatCode="0.0"/>
    <numFmt numFmtId="166" formatCode="\+0.0;\-0.0;\–"/>
    <numFmt numFmtId="167" formatCode="mmm\ d&quot;, &quot;yyyy"/>
  </numFmts>
  <fonts count="7">
    <font>
      <sz val="11.0"/>
      <color theme="1"/>
      <name val="Calibri"/>
      <scheme val="minor"/>
    </font>
    <font>
      <b/>
      <sz val="16.0"/>
      <color rgb="FF2F5496"/>
      <name val="Arial"/>
    </font>
    <font>
      <i/>
      <sz val="10.0"/>
      <color rgb="FF595959"/>
      <name val="Arial"/>
    </font>
    <font>
      <b/>
      <sz val="11.0"/>
      <color rgb="FFFFFFFF"/>
      <name val="Arial"/>
    </font>
    <font>
      <sz val="11.0"/>
      <color theme="1"/>
      <name val="Arial"/>
    </font>
    <font>
      <sz val="11.0"/>
      <color theme="1"/>
      <name val="Calibri"/>
    </font>
    <font>
      <b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1" fillId="2" fontId="3" numFmtId="164" xfId="0" applyAlignment="1" applyBorder="1" applyFill="1" applyFont="1" applyNumberFormat="1">
      <alignment horizontal="center" shrinkToFit="0" vertical="center" wrapText="1"/>
    </xf>
    <xf borderId="1" fillId="3" fontId="4" numFmtId="0" xfId="0" applyAlignment="1" applyBorder="1" applyFill="1" applyFont="1">
      <alignment readingOrder="0" shrinkToFit="0" vertical="center" wrapText="0"/>
    </xf>
    <xf borderId="1" fillId="3" fontId="5" numFmtId="0" xfId="0" applyAlignment="1" applyBorder="1" applyFill="1" applyFont="1">
      <alignment horizontal="center" shrinkToFit="0" vertical="bottom" wrapText="0"/>
    </xf>
    <xf borderId="1" fillId="4" fontId="5" numFmtId="0" xfId="0" applyAlignment="1" applyBorder="1" applyFill="1" applyFont="1">
      <alignment horizontal="center" shrinkToFit="0" vertical="bottom" wrapText="0"/>
    </xf>
    <xf borderId="1" fillId="0" fontId="6" numFmtId="165" xfId="0" applyAlignment="1" applyBorder="1" applyFont="1" applyNumberFormat="1">
      <alignment horizontal="center" shrinkToFit="0" vertical="bottom" wrapText="0"/>
    </xf>
    <xf borderId="1" fillId="0" fontId="5" numFmtId="166" xfId="0" applyAlignment="1" applyBorder="1" applyFont="1" applyNumberFormat="1">
      <alignment horizontal="center" shrinkToFit="0" vertical="bottom" wrapText="0"/>
    </xf>
    <xf borderId="1" fillId="4" fontId="4" numFmtId="0" xfId="0" applyAlignment="1" applyBorder="1" applyFill="1" applyFont="1">
      <alignment readingOrder="0" shrinkToFit="0" vertical="center" wrapText="0"/>
    </xf>
    <xf borderId="1" fillId="0" fontId="4" numFmtId="0" xfId="0" applyAlignment="1" applyBorder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1" fillId="3" fontId="4" numFmtId="167" xfId="0" applyAlignment="1" applyBorder="1" applyFill="1" applyFont="1" applyNumberFormat="1">
      <alignment shrinkToFit="0" vertical="bottom" wrapText="0"/>
    </xf>
    <xf borderId="1" fillId="0" fontId="5" numFmtId="165" xfId="0" applyAlignment="1" applyBorder="1" applyFont="1" applyNumberFormat="1">
      <alignment horizontal="center" shrinkToFit="0" vertical="bottom" wrapText="0"/>
    </xf>
    <xf borderId="1" fillId="3" fontId="4" numFmtId="0" xfId="0" applyAlignment="1" applyBorder="1" applyFill="1" applyFont="1">
      <alignment shrinkToFit="0" vertical="bottom" wrapText="0"/>
    </xf>
    <xf borderId="1" fillId="3" fontId="4" numFmtId="0" xfId="0" applyAlignment="1" applyBorder="1" applyFill="1" applyFont="1">
      <alignment horizontal="center" shrinkToFit="0" vertical="bottom" wrapText="0"/>
    </xf>
    <xf borderId="1" fillId="0" fontId="5" numFmtId="0" xfId="0" applyAlignment="1" applyBorder="1" applyFont="1">
      <alignment horizontal="center" shrinkToFit="0" vertical="bottom" wrapText="0"/>
    </xf>
    <xf borderId="1" fillId="4" fontId="4" numFmtId="0" xfId="0" applyAlignment="1" applyBorder="1" applyFill="1" applyFont="1">
      <alignment shrinkToFit="0" vertical="bottom" wrapText="0"/>
    </xf>
    <xf borderId="1" fillId="4" fontId="4" numFmtId="0" xfId="0" applyAlignment="1" applyBorder="1" applyFill="1" applyFont="1">
      <alignment horizontal="center" shrinkToFit="0" vertical="bottom" wrapText="0"/>
    </xf>
    <xf borderId="0" fillId="0" fontId="6" numFmtId="165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Average Rating by Team Member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Summary!$C$5</c:f>
            </c:strRef>
          </c:tx>
          <c:cat>
            <c:strRef>
              <c:f>Summary!$B$6:$B$11</c:f>
            </c:strRef>
          </c:cat>
          <c:val>
            <c:numRef>
              <c:f>Summary!$C$6:$C$11</c:f>
              <c:numCache/>
            </c:numRef>
          </c:val>
        </c:ser>
        <c:axId val="685561549"/>
        <c:axId val="1775968185"/>
      </c:barChart>
      <c:catAx>
        <c:axId val="6855615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Team Member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75968185"/>
      </c:catAx>
      <c:valAx>
        <c:axId val="177596818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685561549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3</xdr:row>
      <xdr:rowOff>123825</xdr:rowOff>
    </xdr:from>
    <xdr:ext cx="6172200" cy="32385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2.0"/>
    <col customWidth="1" min="2" max="2" width="22.0"/>
    <col customWidth="1" min="3" max="14" width="9.0"/>
    <col customWidth="1" min="15" max="15" width="10.0"/>
    <col customWidth="1" min="16" max="16" width="9.0"/>
    <col customWidth="1" min="17" max="26" width="8.71"/>
  </cols>
  <sheetData>
    <row r="2">
      <c r="B2" s="1" t="s">
        <v>0</v>
      </c>
    </row>
    <row r="3">
      <c r="B3" s="2" t="s">
        <v>1</v>
      </c>
    </row>
    <row r="5">
      <c r="B5" s="3" t="s">
        <v>2</v>
      </c>
      <c r="C5" s="4">
        <v>46279.0</v>
      </c>
      <c r="D5" s="4">
        <v>46286.0</v>
      </c>
      <c r="E5" s="4">
        <v>46293.0</v>
      </c>
      <c r="F5" s="4">
        <v>46300.0</v>
      </c>
      <c r="G5" s="4">
        <v>46307.0</v>
      </c>
      <c r="H5" s="4">
        <v>46314.0</v>
      </c>
      <c r="I5" s="4">
        <v>46321.0</v>
      </c>
      <c r="J5" s="4">
        <v>46328.0</v>
      </c>
      <c r="K5" s="4">
        <v>46335.0</v>
      </c>
      <c r="L5" s="4">
        <v>46342.0</v>
      </c>
      <c r="M5" s="4">
        <v>46349.0</v>
      </c>
      <c r="N5" s="4">
        <v>46356.0</v>
      </c>
      <c r="O5" s="3" t="s">
        <v>3</v>
      </c>
      <c r="P5" s="3" t="s">
        <v>4</v>
      </c>
    </row>
    <row r="6">
      <c r="B6" s="5" t="s">
        <v>5</v>
      </c>
      <c r="C6" s="6"/>
      <c r="D6" s="6"/>
      <c r="E6" s="6"/>
      <c r="F6" s="6"/>
      <c r="G6" s="7"/>
      <c r="H6" s="7"/>
      <c r="I6" s="7"/>
      <c r="J6" s="7"/>
      <c r="K6" s="7"/>
      <c r="L6" s="7"/>
      <c r="M6" s="7"/>
      <c r="N6" s="7"/>
      <c r="O6" s="8" t="str">
        <f t="shared" ref="O6:O10" si="1">IFERROR(AVERAGE(C6:N6),"")</f>
        <v/>
      </c>
      <c r="P6" s="9" t="str">
        <f t="shared" ref="P6:P10" si="2">IF(COUNT(C6:N6)&lt;2,"",INDEX(C6:N6,COUNT(C6:N6))-AVERAGE(OFFSET(C6,0,0,1,COUNT(C6:N6)-1)))</f>
        <v/>
      </c>
    </row>
    <row r="7">
      <c r="B7" s="10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8" t="str">
        <f t="shared" si="1"/>
        <v/>
      </c>
      <c r="P7" s="9" t="str">
        <f t="shared" si="2"/>
        <v/>
      </c>
    </row>
    <row r="8">
      <c r="B8" s="10" t="s">
        <v>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8" t="str">
        <f t="shared" si="1"/>
        <v/>
      </c>
      <c r="P8" s="9" t="str">
        <f t="shared" si="2"/>
        <v/>
      </c>
    </row>
    <row r="9">
      <c r="B9" s="10" t="s">
        <v>8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8" t="str">
        <f t="shared" si="1"/>
        <v/>
      </c>
      <c r="P9" s="9" t="str">
        <f t="shared" si="2"/>
        <v/>
      </c>
    </row>
    <row r="10">
      <c r="B10" s="10" t="s">
        <v>11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8" t="str">
        <f t="shared" si="1"/>
        <v/>
      </c>
      <c r="P10" s="9" t="str">
        <f t="shared" si="2"/>
        <v/>
      </c>
    </row>
    <row r="13">
      <c r="B13" s="12" t="s">
        <v>18</v>
      </c>
    </row>
    <row r="14">
      <c r="B14" s="2" t="s">
        <v>21</v>
      </c>
    </row>
    <row r="15">
      <c r="B15" s="2" t="s">
        <v>22</v>
      </c>
    </row>
    <row r="16">
      <c r="B16" s="2" t="s">
        <v>24</v>
      </c>
    </row>
    <row r="17">
      <c r="B17" s="2" t="s">
        <v>25</v>
      </c>
    </row>
    <row r="18">
      <c r="B18" s="2" t="s">
        <v>26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conditionalFormatting sqref="C6:N10">
    <cfRule type="colorScale" priority="1">
      <colorScale>
        <cfvo type="formula" val="0"/>
        <cfvo type="formula" val="60"/>
        <cfvo type="formula" val="100"/>
        <color rgb="FFF8696B"/>
        <color rgb="FFFFEB84"/>
        <color rgb="FF63BE7B"/>
      </colorScale>
    </cfRule>
  </conditionalFormatting>
  <dataValidations>
    <dataValidation type="decimal" allowBlank="1" showInputMessage="1" showErrorMessage="1" prompt="Invalid rating - Enter a whole number between 0 and 100." sqref="C6:N10">
      <formula1>0.0</formula1>
      <formula2>100.0</formula2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3" width="15.0"/>
    <col customWidth="1" min="4" max="4" width="17.0"/>
    <col customWidth="1" min="5" max="5" width="10.0"/>
    <col customWidth="1" min="6" max="26" width="8.71"/>
  </cols>
  <sheetData>
    <row r="2">
      <c r="B2" s="1" t="s">
        <v>9</v>
      </c>
    </row>
    <row r="3">
      <c r="B3" s="2" t="s">
        <v>10</v>
      </c>
    </row>
    <row r="5">
      <c r="B5" s="3" t="s">
        <v>2</v>
      </c>
      <c r="C5" s="3" t="s">
        <v>12</v>
      </c>
      <c r="D5" s="3" t="s">
        <v>13</v>
      </c>
      <c r="E5" s="3" t="s">
        <v>4</v>
      </c>
    </row>
    <row r="6">
      <c r="B6" s="11" t="str">
        <f>IF('Weekly Ratings'!B6="","",'Weekly Ratings'!B6)</f>
        <v>Joshua Ta</v>
      </c>
      <c r="C6" s="14" t="str">
        <f>'Weekly Ratings'!O6</f>
        <v/>
      </c>
      <c r="D6" s="17" t="str">
        <f t="array" ref="D6">IF(COUNT('Weekly Ratings'!C6:N6)=0,"",INDEX('Weekly Ratings'!C6:N6,COUNT('Weekly Ratings'!C6:N6)))</f>
        <v/>
      </c>
      <c r="E6" s="9" t="str">
        <f>'Weekly Ratings'!P6</f>
        <v/>
      </c>
    </row>
    <row r="7">
      <c r="B7" s="11" t="str">
        <f>IF('Weekly Ratings'!B7="","",'Weekly Ratings'!B7)</f>
        <v>Martin Huerta</v>
      </c>
      <c r="C7" s="14" t="str">
        <f>'Weekly Ratings'!O7</f>
        <v/>
      </c>
      <c r="D7" s="17" t="str">
        <f t="array" ref="D7">IF(COUNT('Weekly Ratings'!C7:N7)=0,"",INDEX('Weekly Ratings'!C7:N7,COUNT('Weekly Ratings'!C7:N7)))</f>
        <v/>
      </c>
      <c r="E7" s="9" t="str">
        <f>'Weekly Ratings'!P7</f>
        <v/>
      </c>
    </row>
    <row r="8">
      <c r="B8" s="11" t="str">
        <f>IF('Weekly Ratings'!B8="","",'Weekly Ratings'!B8)</f>
        <v>Jerryn Jose</v>
      </c>
      <c r="C8" s="14" t="str">
        <f>'Weekly Ratings'!O8</f>
        <v/>
      </c>
      <c r="D8" s="17" t="str">
        <f t="array" ref="D8">IF(COUNT('Weekly Ratings'!C8:N8)=0,"",INDEX('Weekly Ratings'!C8:N8,COUNT('Weekly Ratings'!C8:N8)))</f>
        <v/>
      </c>
      <c r="E8" s="9" t="str">
        <f>'Weekly Ratings'!P8</f>
        <v/>
      </c>
    </row>
    <row r="9">
      <c r="B9" s="11" t="str">
        <f>IF('Weekly Ratings'!B9="","",'Weekly Ratings'!B9)</f>
        <v>Ethan Tran</v>
      </c>
      <c r="C9" s="14" t="str">
        <f>'Weekly Ratings'!O9</f>
        <v/>
      </c>
      <c r="D9" s="17" t="str">
        <f t="array" ref="D9">IF(COUNT('Weekly Ratings'!C9:N9)=0,"",INDEX('Weekly Ratings'!C9:N9,COUNT('Weekly Ratings'!C9:N9)))</f>
        <v/>
      </c>
      <c r="E9" s="9" t="str">
        <f>'Weekly Ratings'!P9</f>
        <v/>
      </c>
    </row>
    <row r="10">
      <c r="B10" s="11" t="str">
        <f>IF('Weekly Ratings'!B10="","",'Weekly Ratings'!B10)</f>
        <v>Austin Tran</v>
      </c>
      <c r="C10" s="14" t="str">
        <f>'Weekly Ratings'!O10</f>
        <v/>
      </c>
      <c r="D10" s="17" t="str">
        <f t="array" ref="D10">IF(COUNT('Weekly Ratings'!C10:N10)=0,"",INDEX('Weekly Ratings'!C10:N10,COUNT('Weekly Ratings'!C10:N10)))</f>
        <v/>
      </c>
      <c r="E10" s="9" t="str">
        <f>'Weekly Ratings'!P10</f>
        <v/>
      </c>
    </row>
    <row r="11">
      <c r="B11" s="11" t="str">
        <f>IF(#REF!="","",#REF!)</f>
        <v>#REF!</v>
      </c>
      <c r="C11" s="14" t="str">
        <f>#REF!</f>
        <v>#REF!</v>
      </c>
      <c r="D11" s="17" t="str">
        <f t="array" ref="D11">IF(COUNT(#REF!)=0,"",INDEX(#REF!,COUNT(#REF!)))</f>
        <v/>
      </c>
      <c r="E11" s="9" t="str">
        <f>#REF!</f>
        <v>#REF!</v>
      </c>
    </row>
    <row r="14">
      <c r="B14" s="12" t="s">
        <v>29</v>
      </c>
      <c r="C14" s="20" t="str">
        <f>IFERROR(AVERAGE(C6:C11),"")</f>
        <v/>
      </c>
    </row>
    <row r="15">
      <c r="B15" s="12" t="s">
        <v>30</v>
      </c>
      <c r="C15" s="12" t="str">
        <f t="array" ref="C15">IFERROR(INDEX(B6:B11,MATCH(MAX(C6:C11),C6:C11,0)),"")</f>
        <v/>
      </c>
    </row>
    <row r="16">
      <c r="B16" s="12" t="s">
        <v>31</v>
      </c>
      <c r="C16" s="12" t="str">
        <f t="array" ref="C16">IFERROR(INDEX(B6:B11,MATCH(MIN(C6:C11),C6:C11,0)),"")</f>
        <v/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2.0"/>
    <col customWidth="1" min="2" max="2" width="12.0"/>
    <col customWidth="1" min="3" max="3" width="20.0"/>
    <col customWidth="1" min="4" max="4" width="13.0"/>
    <col customWidth="1" min="5" max="5" width="16.0"/>
    <col customWidth="1" min="6" max="6" width="45.0"/>
    <col customWidth="1" min="7" max="26" width="8.71"/>
  </cols>
  <sheetData>
    <row r="2">
      <c r="B2" s="1" t="s">
        <v>14</v>
      </c>
    </row>
    <row r="3">
      <c r="B3" s="2" t="s">
        <v>15</v>
      </c>
    </row>
    <row r="5">
      <c r="B5" s="3" t="s">
        <v>16</v>
      </c>
      <c r="C5" s="3" t="s">
        <v>2</v>
      </c>
      <c r="D5" s="3" t="s">
        <v>17</v>
      </c>
      <c r="E5" s="3" t="s">
        <v>19</v>
      </c>
      <c r="F5" s="3" t="s">
        <v>20</v>
      </c>
    </row>
    <row r="6">
      <c r="B6" s="13">
        <v>46279.0</v>
      </c>
      <c r="C6" s="15" t="s">
        <v>23</v>
      </c>
      <c r="D6" s="16">
        <v>88.0</v>
      </c>
      <c r="E6" s="15" t="s">
        <v>27</v>
      </c>
      <c r="F6" s="15" t="s">
        <v>28</v>
      </c>
    </row>
    <row r="7">
      <c r="B7" s="18"/>
      <c r="C7" s="18"/>
      <c r="D7" s="19"/>
      <c r="E7" s="18"/>
      <c r="F7" s="18"/>
    </row>
    <row r="8">
      <c r="B8" s="18"/>
      <c r="C8" s="18"/>
      <c r="D8" s="19"/>
      <c r="E8" s="18"/>
      <c r="F8" s="18"/>
    </row>
    <row r="9">
      <c r="B9" s="18"/>
      <c r="C9" s="18"/>
      <c r="D9" s="19"/>
      <c r="E9" s="18"/>
      <c r="F9" s="18"/>
    </row>
    <row r="10">
      <c r="B10" s="18"/>
      <c r="C10" s="18"/>
      <c r="D10" s="19"/>
      <c r="E10" s="18"/>
      <c r="F10" s="18"/>
    </row>
    <row r="11">
      <c r="B11" s="18"/>
      <c r="C11" s="18"/>
      <c r="D11" s="19"/>
      <c r="E11" s="18"/>
      <c r="F11" s="18"/>
    </row>
    <row r="12">
      <c r="B12" s="18"/>
      <c r="C12" s="18"/>
      <c r="D12" s="19"/>
      <c r="E12" s="18"/>
      <c r="F12" s="18"/>
    </row>
    <row r="13">
      <c r="B13" s="18"/>
      <c r="C13" s="18"/>
      <c r="D13" s="19"/>
      <c r="E13" s="18"/>
      <c r="F13" s="18"/>
    </row>
    <row r="14">
      <c r="B14" s="18"/>
      <c r="C14" s="18"/>
      <c r="D14" s="19"/>
      <c r="E14" s="18"/>
      <c r="F14" s="18"/>
    </row>
    <row r="15">
      <c r="B15" s="18"/>
      <c r="C15" s="18"/>
      <c r="D15" s="19"/>
      <c r="E15" s="18"/>
      <c r="F15" s="18"/>
    </row>
    <row r="16">
      <c r="B16" s="18"/>
      <c r="C16" s="18"/>
      <c r="D16" s="19"/>
      <c r="E16" s="18"/>
      <c r="F16" s="18"/>
    </row>
    <row r="17">
      <c r="B17" s="18"/>
      <c r="C17" s="18"/>
      <c r="D17" s="19"/>
      <c r="E17" s="18"/>
      <c r="F17" s="18"/>
    </row>
    <row r="18">
      <c r="B18" s="18"/>
      <c r="C18" s="18"/>
      <c r="D18" s="19"/>
      <c r="E18" s="18"/>
      <c r="F18" s="18"/>
    </row>
    <row r="19">
      <c r="B19" s="18"/>
      <c r="C19" s="18"/>
      <c r="D19" s="19"/>
      <c r="E19" s="18"/>
      <c r="F19" s="18"/>
    </row>
    <row r="20">
      <c r="B20" s="18"/>
      <c r="C20" s="18"/>
      <c r="D20" s="19"/>
      <c r="E20" s="18"/>
      <c r="F20" s="1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E6:E20">
      <formula1>"Delivery,Collaboration,Quality,Communication,Leadership,Other"</formula1>
    </dataValidation>
    <dataValidation type="decimal" allowBlank="1" showInputMessage="1" showErrorMessage="1" prompt="Invalid rating - Enter a whole number between 0 and 100." sqref="D6:D20">
      <formula1>0.0</formula1>
      <formula2>100.0</formula2>
    </dataValidation>
  </dataValidations>
  <printOptions/>
  <pageMargins bottom="1.0" footer="0.0" header="0.0" left="0.75" right="0.75" top="1.0"/>
  <pageSetup paperSize="9" orientation="portrait"/>
  <drawing r:id="rId1"/>
</worksheet>
</file>